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rajesh.jonnagaddla/Documents/"/>
    </mc:Choice>
  </mc:AlternateContent>
  <xr:revisionPtr revIDLastSave="0" documentId="13_ncr:1_{0592E5FA-377D-1B49-8A1E-BBD055A61C83}" xr6:coauthVersionLast="47" xr6:coauthVersionMax="47" xr10:uidLastSave="{00000000-0000-0000-0000-000000000000}"/>
  <bookViews>
    <workbookView xWindow="0" yWindow="660" windowWidth="34560" windowHeight="20080" activeTab="4" xr2:uid="{535B19E9-6287-9541-B111-4D357D9165F5}"/>
  </bookViews>
  <sheets>
    <sheet name="Sheet1" sheetId="1" r:id="rId1"/>
    <sheet name="GMAIL" sheetId="2" r:id="rId2"/>
    <sheet name="GCHAT" sheetId="3" r:id="rId3"/>
    <sheet name="DRIVE" sheetId="4" r:id="rId4"/>
    <sheet name="Docs" sheetId="5" r:id="rId5"/>
  </sheets>
  <definedNames>
    <definedName name="_xlnm._FilterDatabase" localSheetId="0" hidden="1">Sheet1!$B$1:$J$19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<sst xmlns="http://schemas.openxmlformats.org/spreadsheetml/2006/main" count="285" uniqueCount="141">
  <si>
    <t>detect_schedule_intent_compose</t>
  </si>
  <si>
    <t>ai_usage_event / feature_utilization</t>
  </si>
  <si>
    <t>Gemini analyzes the email being composed in Gmail to detect scheduling intent and offer 'Help me schedule'. Reads user message content.</t>
  </si>
  <si>
    <t>Insider Threats</t>
  </si>
  <si>
    <t>Content Analysis / Smart Compose</t>
  </si>
  <si>
    <t>Data Access</t>
  </si>
  <si>
    <t>gmail</t>
  </si>
  <si>
    <t>help_me_schedule</t>
  </si>
  <si>
    <t>inactive</t>
  </si>
  <si>
    <t>classic_use_case_gemini_app</t>
  </si>
  <si>
    <t>User directly interacts with the standalone Gemini app (prompt/response chat).</t>
  </si>
  <si>
    <t>GenAI Conversation</t>
  </si>
  <si>
    <t>Service Usage</t>
  </si>
  <si>
    <t>gemini_app</t>
  </si>
  <si>
    <t>chat_with_gemini</t>
  </si>
  <si>
    <t>active_conversations</t>
  </si>
  <si>
    <t>generate_starter_tile_prompts</t>
  </si>
  <si>
    <t>Gemini side panel generates suggested 'starter tile' prompts for the user. Feature engagement, no user content submitted.</t>
  </si>
  <si>
    <t>Prompt Assistance</t>
  </si>
  <si>
    <t>sheets; drive; chat; drive_ai_mode</t>
  </si>
  <si>
    <t>side_panel</t>
  </si>
  <si>
    <t>generate_nudge_prompts</t>
  </si>
  <si>
    <t>Gemini side panel generates proactive 'nudge' prompt suggestions in Drive.</t>
  </si>
  <si>
    <t>drive</t>
  </si>
  <si>
    <t>summarize_homepage</t>
  </si>
  <si>
    <t>Gemini summarizes Drive homepage content for the user. Reads user content to build the summary.</t>
  </si>
  <si>
    <t>Content Summarization</t>
  </si>
  <si>
    <t>summarize_proactive_short</t>
  </si>
  <si>
    <t>Gemini proactively generates a short summary of Drive content (Gemini shelf). Reads user content.</t>
  </si>
  <si>
    <t>drive_gemini_shelf</t>
  </si>
  <si>
    <t>auto_proofread</t>
  </si>
  <si>
    <t>Gemini 'Help me write' auto-proofreads / rewrites user text in Gmail, producing edited content.</t>
  </si>
  <si>
    <t>Content Generation / Editing</t>
  </si>
  <si>
    <t>Data Update</t>
  </si>
  <si>
    <t>help_me_write</t>
  </si>
  <si>
    <t>generate_apps_search_overlay_suggestions</t>
  </si>
  <si>
    <t>Gemini generates search overlay suggestions within the Drive apps search experience.</t>
  </si>
  <si>
    <t>conversation</t>
  </si>
  <si>
    <t>User has a Gemini side-panel conversation within a Workspace app (Chat, Gmail, Drive).</t>
  </si>
  <si>
    <t>proactive_suggestions</t>
  </si>
  <si>
    <t>Gemini surfaces proactive suggestions to the user within a Workspace app.</t>
  </si>
  <si>
    <t>drive_ai_mode; chat; docs</t>
  </si>
  <si>
    <t>summarize_space_comprehensive</t>
  </si>
  <si>
    <t>Gemini generates a comprehensive summary of a Google Chat space. Reads conversation content.</t>
  </si>
  <si>
    <t>chat</t>
  </si>
  <si>
    <t>conversation_summaries</t>
  </si>
  <si>
    <t>summarize_space</t>
  </si>
  <si>
    <t>Gemini summarizes a Google Chat space. Reads conversation content.</t>
  </si>
  <si>
    <t>conversation_image</t>
  </si>
  <si>
    <t>User has a multimodal (image) conversation with Gemini in the Gmail side panel.</t>
  </si>
  <si>
    <t>GenAI Conversation (Multimodal)</t>
  </si>
  <si>
    <t>generate_starter_freeform</t>
  </si>
  <si>
    <t>Gemini generates a freeform starter prompt suggestion for the user.</t>
  </si>
  <si>
    <t>drive_ai_mode</t>
  </si>
  <si>
    <t>describe_gemini_uses</t>
  </si>
  <si>
    <t>Gemini describes its available uses/capabilities to the user (feature discovery).</t>
  </si>
  <si>
    <t>Feature Discovery</t>
  </si>
  <si>
    <t>summarize_proactive</t>
  </si>
  <si>
    <t>Gemini proactively summarizes content for the user. Reads user content.</t>
  </si>
  <si>
    <t>edit_image</t>
  </si>
  <si>
    <t>Gemini 'Help me visualize' edits/generates an image in Google Vids, producing new visual content.</t>
  </si>
  <si>
    <t>Content Generation (Image)</t>
  </si>
  <si>
    <t>vids</t>
  </si>
  <si>
    <t>help_me_visualize</t>
  </si>
  <si>
    <t>active_generate</t>
  </si>
  <si>
    <t>generate_document</t>
  </si>
  <si>
    <t>Gemini 'Help me write' generates a document in Google Docs, producing new content.</t>
  </si>
  <si>
    <t>Content Generation</t>
  </si>
  <si>
    <t>docs</t>
  </si>
  <si>
    <t>Activity Name (action)</t>
  </si>
  <si>
    <t>Event Type / Name</t>
  </si>
  <si>
    <t>Description of Activity [Admin]</t>
  </si>
  <si>
    <t>Threat Category</t>
  </si>
  <si>
    <t>Activity Category</t>
  </si>
  <si>
    <t>Supported Activity Category (final)</t>
  </si>
  <si>
    <t>Application(s)</t>
  </si>
  <si>
    <t>Feature Source(s)</t>
  </si>
  <si>
    <t>Event Category (engagement)</t>
  </si>
  <si>
    <t>done</t>
  </si>
  <si>
    <t>DONE</t>
  </si>
  <si>
    <t>summarize_homepage
Navigate to your main Google Drive homepage (My Drive).
Open the Gemini side panel.
Issue a prompt asking the AI to summarize your workspace (e.g., "Summarize my recent files" or "What is happening in my Drive today?"). You can also click a suggested prompt that asks for a homepage summary.</t>
  </si>
  <si>
    <t>Open Google Drive.
Click once on a supported file (like a Google Doc) to highlight it, but do not double-click to open it fully.
With the file highlighted, click the Gemini (sparkle) icon at the top right to open the side panel.
Allow the side panel to load. Gemini should automatically read the "detected active content" (the file you highlighted) and display a summary in the panel without you typing a prompt.</t>
  </si>
  <si>
    <t>Locate a PDF or a Video file in your Google Drive. (Standard Google Docs/Sheets default to the side panel interface, but PDFs/videos use an overlay viewer).
Double-click the PDF or video to open it in the Drive overlay viewer.
In this overlay view, look for the Gemini sparkle icon or an automatic short summary snippet at the top right. Letting the AI generate this brief, automatic context for the PDF/video should log the short proactive summary event.</t>
  </si>
  <si>
    <t xml:space="preserve">
Open Google Drive in your web browser.
Click the Gemini (sparkle) icon in the top-right corner to open the side panel.
Do not type anything into the chat box.
Allow the panel to load completely. When the system displays the default "nudge" prompts or starter tiles, the log is triggered.</t>
  </si>
  <si>
    <t>Open Google Drive.
Click the Gemini icon to open the side panel.
Wait for the default suggested prompts (starter tiles) to appear.
Click on one of the starter tiles (e.g., "What are my priorities today?"). The act of Gemini generating a response based on that specific tile click triggers the log.</t>
  </si>
  <si>
    <t>Drive done</t>
  </si>
  <si>
    <t>chat:summarize_messages</t>
  </si>
  <si>
    <t>docs:conversation</t>
  </si>
  <si>
    <t>calendar:suggest_time</t>
  </si>
  <si>
    <t>chat:proactive_suggestions_response</t>
  </si>
  <si>
    <t>drive:outline</t>
  </si>
  <si>
    <t>gmail:classic_use_case_suggest_time_reporting</t>
  </si>
  <si>
    <t>generate_text</t>
  </si>
  <si>
    <t>gmail:generate_text</t>
  </si>
  <si>
    <t>gmail:summarize_long</t>
  </si>
  <si>
    <t>GMAIL</t>
  </si>
  <si>
    <t>classic_use_case_suggest_time_reporting</t>
  </si>
  <si>
    <t>summarize_long</t>
  </si>
  <si>
    <t>Activity</t>
  </si>
  <si>
    <t>Steps</t>
  </si>
  <si>
    <t>This is the foundational event for the "Help me write" feature when generating a brand-new draft from scratch.
Step 1: Open Gmail and click Compose.
Step 2: Click the Help me write (magic wand) button in the empty body of the email.
Step 3: Type a prompt such as, "Write an email to my team thanking them for their hard work on the Q3 launch," and click Create.</t>
  </si>
  <si>
    <t>This is a highly specific telemetry tag likely related to Gemini's ability to pull calendar availability or suggest meeting times based on a conversation context.
Step 1: Open an email thread where someone is asking for your availability.
Step 2: Open the Ask Gemini side panel.
Step 3: Ask Gemini, "When am I free next week to meet with this person?" or use the smart compose feature in the reply box by clicking the Calendar icon and selecting Offer times you're free.</t>
  </si>
  <si>
    <t>This is the standard logging event for general chat interactions with the Gemini side panel.
Step 1: Open Gmail.
Step 2: Click the Ask Gemini icon in the top right corner.
Step 3: Type a general conversational prompt into the chat box, such as, "What are my unread emails from today?" or "Give me tips for writing a better out-of-office reply," and press Enter.`</t>
  </si>
  <si>
    <t>This activity is logged when you interact with an image using the Gemini side panel.
Step 1: Open Gmail on the web.
Step 2: Click the Ask Gemini (sparkle) icon in the top right corner to open the side panel.
Step 3: If the option is available to upload or reference an image in the chat, attach an image and ask a prompt like, "Extract the text from this image," or "Summarize the chart in this picture."</t>
  </si>
  <si>
    <t>This is triggered when Gemini is used to check, fix, or refine the grammar and tone of an email you have already written.
Step 1: Open Gmail and click Compose.
Step 2: Type a rough draft of an email with casual formatting or minor errors.
Step 3: Click the Help me write icon in the formatting bar, or highlight the text and click the Gemini icon.
Step 4: Select the Polish or Refine option from the dropdown menu to have Gemini rewrite your text.</t>
  </si>
  <si>
    <t>This is triggered when you ask Gemini to summarize a lengthy email or a long thread of multiple replies.
Step 1: Open an email thread in Gmail that has a large amount of text or multiple back-and-forth replies.
Step 2: Click the Summarize this email button (often appearing at the top of long threads with a Gemini sparkle icon).
Step 3: Alternatively, open the Ask Gemini side panel while viewing the long thread and type, "Summarize this email thread."</t>
  </si>
  <si>
    <t>This event is logged when the system detects you are trying to schedule a meeting while composing an email, or when you ask Gemini to help you schedule one.
Step 1: Open Gmail and click Compose.
Step 2: Start typing an email explicitly mentioning dates and times (e.g., "Let's meet tomorrow at 3:00 PM EST to discuss the project").
Step 3: Alternatively, click the Help me write (magic wand) icon and prompt it with: "Draft an email to John asking him for a 30-minute meeting next Tuesday."</t>
  </si>
  <si>
    <t>GCHAT</t>
  </si>
  <si>
    <t>This is the standard logging event for the basic, quick summary feature in a Space or conversation.
Step 1: Open Google Chat and navigate to a Space or group conversation with unread messages.
Step 2: Click the automatic Summarize button (often appearing as a pill-shaped button at the top of your unread messages or at the top of the space).
Step 3: Alternatively, open the Ask Gemini side panel and type a simple prompt like, "Summarize this space," or "Catch me up."</t>
  </si>
  <si>
    <t>This activity is triggered when a user interacts with onboarding flows, help menus, or directly asks Gemini about its capabilities within Google Chat.
Step 1: Open Google Chat and start a Direct Message (DM) with the Gemini app/bot.
Step 2: Type a prompt asking for instructions or capabilities, such as, "What can you do?", "How can you help me in Google Chat?", or "Describe your features."
Step 3: Alternatively, clicking on "Help" or "Learn more" links within the Gemini interface in Chat can trigger this.</t>
  </si>
  <si>
    <t>This event logs when you interact with the automated, contextual smart chips (suggestions) that Gemini offers before you even type a prompt.
Step 1: Open an active Google Chat Space or conversation.
Step 2: Look above the text reply box or in the Gemini side panel for proactive smart chips (e.g., buttons that automatically say "Summarize conversation" or "What are the action items?").
Step 3: Click on one of these proactively suggested chips rather than typing your own prompt.</t>
  </si>
  <si>
    <t>This is related to the initial empty-state experience where Gemini provides clickable "tiles" or cards with starter prompts to help you begin a conversation.
Step 1: Open Google Chat and start a new Direct Message with the Gemini bot, or open the Ask Gemini side panel for the very first time in a specific context.
Step 2: Observe the welcome screen; you should see a grid or list of "starter tiles" with suggested prompts (e.g., "Draft an update," "Plan an agenda").
Step 3: Click on one of these initial starter tiles to initiate the conversation.</t>
  </si>
  <si>
    <t>This event is logged when you ask Gemini for a detailed, deep-dive summary of a Google Chat Space, often covering a longer timeframe or asking for specific details.
Step 1: Open Google Chat and navigate to a highly active Space.
Step 2: Click the Ask Gemini (sparkle) icon to open the side panel, or tag @Gemini directly in the space.
Step 3: Provide a detailed prompt requesting a thorough summary, such as: "Give me a comprehensive summary of all project updates, decisions made, and action items assigned in this space over the last month."</t>
  </si>
  <si>
    <t>proactive_suggestions_response</t>
  </si>
  <si>
    <t>summarize_messages</t>
  </si>
  <si>
    <t>Unlike summarize_space (which summarizes an entire room's activity), this event is triggered when you target a specific cluster of messages, such as a single thread within a larger space.
Step 1: Open Google Chat and navigate to a Space that uses in-line threading.
Step 2: Open a specific, lengthy thread within that space (rather than looking at the main space view).
Step 3: Click the Ask Gemini (sparkle) icon to open the side panel while focused on that thread, and type a prompt like, "Summarize these messages," or "Summarize this specific thread."
Step 4: Alternatively, if a native "Summarize" button appears at the top of that specific thread, clicking it will also trigger this targeted event.</t>
  </si>
  <si>
    <t>Use Gemini in Gchat and prompt something</t>
  </si>
  <si>
    <t>outline</t>
  </si>
  <si>
    <t>DRIVE</t>
  </si>
  <si>
    <t>This activity logs when Gemini proactively suggests an action or prompt based on your current workflow.
Open Google Drive on the web.
Start performing repetitive actions, such as selecting multiple files, moving them into folders, or organizing a shared drive.
Wait for a proactive "nudge" or suggestion chip from Gemini to appear on your screen (e.g., a pop-up suggesting you create a specific folder structure or use a smart label).</t>
  </si>
  <si>
    <t>This is a background event triggered when the AI organizes or summarizes your main Drive view.
Open your browser and navigate to the Google Drive homepage (drive.google.com).
Ensure you are on the Home view (this is usually the default landing page).
Allow the page to load fully.
If your Workspace environment uses Gemini to intelligently organize, suggest, or summarize your "Priority" files on this landing page, the backend automatically logs this generation event.</t>
  </si>
  <si>
    <t>This logs when the system generates a very brief summary without you opening the side panel.
Open Google Drive and locate a supported text document (like a Google Doc or PDF) in your file list.
Hover your mouse cursor over the file name or file icon without clicking it.
A small preview or tooltip card will appear.
When Gemini automatically generates a brief (1-2 sentence) summary of the document within this hover card, the log is generated.</t>
  </si>
  <si>
    <t>This is an automatic telemetry log for AI-generated search suggestions.
Open Google Drive on the web.
Click directly into the Search in Drive bar at the top center of the screen.
Before you even type a query, wait a moment for the drop-down overlay menu to appear.
Gemini automatically populating this overlay with suggested AI search queries, specific file recommendations, or filters triggers this telemetry event.</t>
  </si>
  <si>
    <t>This logs when Gemini suggests a prompt inside the text entry box.
Open Google Drive and double-click to open a specific file (e.g., a Google Doc).
Click the Ask Gemini (sparkle) icon in the top right corner to open the side panel.
Look closely at the empty chat text box at the bottom of the panel.
The system proactively generating the placeholder text or "freeform" suggestion inside the text entry box (e.g., "Ask about this document..." or "Summarize the key points...") triggers this activity.</t>
  </si>
  <si>
    <t>This logs when the side panel automatically summarizes a file before you even ask.
Open a Google Doc, Google Slide, or PDF from your Google Drive.
Click the Ask Gemini icon to open the side panel.
Without typing anything into the chat box, wait a few seconds and look at the top of the side panel chat interface.
If Gemini automatically displays a generated bulleted summary or key takeaways of the open document before you prompt it, this background generation triggers the event.</t>
  </si>
  <si>
    <t>This logs when the system automatically creates follow-up chips after answering a question.
Open Google Drive and open the Ask Gemini side panel.
Type a question into the chat, such as, "Find my recent budget spreadsheets."
Wait for Gemini to generate its answer and display the files.
Scroll to the very bottom of the response. The system automatically creating and displaying clickable follow-up chips (e.g., "Summarize the 2026 budget") logs this activity.</t>
  </si>
  <si>
    <t>This represents a deliberate, active, back-and-forth conversation with the AI.
Open Google Drive on the web.
Click the Ask Gemini (sparkle) icon in the top right corner.
Click the text entry box at the bottom of the panel.
Type a custom, explicit prompt (e.g., "What are the main action items in my recent meeting notes?") and press Enter. This user-initiated interaction triggers the conversation event.</t>
  </si>
  <si>
    <t>This logs when Gemini provides clickable "tiles" or cards to help you start a conversation.
Navigate to the main Google Drive homepage.
Click the Ask Gemini side panel icon for the first time in your current session.
Observe the welcome interface in the side panel before you type anything.
The system generating the visual, clickable "tiles" or cards that offer starter prompts (like "Catch me up on my priority files" or "Help me find a document") logs this backend event.</t>
  </si>
  <si>
    <t>`</t>
  </si>
  <si>
    <t>This logs when you explicitly ask Gemini to structure or outline a file.
Open a lengthy Google Doc from your Google Drive.
Open the Ask Gemini side panel.
Type an explicit prompt into the chat box, such as, "Create an outline for this document," or click a starter tile that says "Outline this document."
Press Enter. The system processing this specific formatting request triggers the outline log.</t>
  </si>
  <si>
    <t>gmail; chat; drive_ai_mode; Docs</t>
  </si>
  <si>
    <t>This is a background telemetry event logged when Gemini automatically generates contextual suggestion chips or prompts for you to try, based on what you are currently doing in the document.
Step 1: Open an existing Google Doc that already has some text in it.
Step 2: Click the Ask Gemini (sparkle) icon in the top right corner of the screen to open the side panel.
Step 3: Observe the side panel interface before you type anything. The system will automatically read the context of your open document and proactively generate clickable suggestion tiles (e.g., "Summarize this document" or "What are the key takeaways?"). The generation of these proactive suggestion tiles automatically triggers this log.
Step 4: Alternative Method: Highlight a block of text in your document. Sometimes, Gemini will proactively display a small floating smart chip suggesting an action (like "Refine" or "Elaborate"). The appearance of this contextual suggestion also triggers the log.</t>
  </si>
  <si>
    <t>This activity is logged when you have an active, back-and-forth chat with the AI using the side panel interface.
Step 1: Open a Google Doc on the web.
Step 2: Click the Ask Gemini icon in the top right corner to open the side panel.
Step 3: Click into the chat box at the bottom of the panel and type a custom, freeform prompt (e.g., "Can you give me 5 alternative titles for this document?" or "What is the tone of the second paragraph?").
Step 4: Press Enter. Initiating this conversational interaction with the AI triggers the conversation event.</t>
  </si>
  <si>
    <t>How to Trigger edit_image in Google Vids
This event is logged when you prompt Gemini to modify or add elements to an existing image on your video canvas.
Step 1: On your computer, open a video project in Google Vids.
Step 2: Locate a scene with an image and click the image to select it.
Step 3: Click the Edit image option.
Step 4: A text box will appear. Enter a descriptive prompt detailing how you want to adjust the image. For example, you could type "Add a fluffy white cat" or "Place this image within a frame hanging in an art gallery".
Step 5: Click Create. The AI processing this generative edit is what triggers the edit_image event in your activity logs.
Step 6: You can then preview the image and click Replace with image to finalize the change on your canvas.</t>
  </si>
  <si>
    <t>Docs</t>
  </si>
  <si>
    <t>generate_videos_omni_r2v</t>
  </si>
  <si>
    <t>This activity is logged when the system uses the Gemini Omni model to generate video content, typically from a reference prompt or document (often known as reference-to-video or r2v).
Step 1: Open Google Vids on your computer and start a new project.
Step 2: Click the Help me create button (the Gemini sparkle icon) to start generating a video.
Step 3: Provide a reference document (like a Google Doc, text prompt, or a reference image) and ask Gemini to generate a video script, storyboard, or video clip based on it.
Step 4: Click Create. When the Gemini Omni model processes your reference input to generate the video sequence and assets, this backend event is triggered.`</t>
  </si>
  <si>
    <t>do it as a group</t>
  </si>
  <si>
    <t>This is the primary logging event triggered when you use the "Help me write" feature to generate new text from scratch within the document body.
Step 1: Open a new Google Doc on the web.
Step 2: Click on a blank line in the document. An icon resembling a pen with a sparkle (the Help me write button) will appear on the left margin. Click it.
Step 3: A text box will appear. Type a prompt to generate content (e.g., "Write a project proposal for a new social media marketing campaign").
Step 4: Click Generate. The system processing this prompt and inserting the new text block into your document triggers the generate_document event in the backend.</t>
  </si>
  <si>
    <t>chat:describe_gemini_uses</t>
  </si>
  <si>
    <t>Docs ::
Open your Google Doc.
Look at the top right corner of your screen (near your profile picture) and click on the Ask Gemini icon (a four-point sparkle ✨).
A chat panel will open on the right side of your screen.
From here, you can type prompts related to your document. Examples:
"Summarize this document in 3 bullet points."
"What are the key action items mentioned in this text?"
"Suggest three alternative titles for this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</si>
</sst>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6"/>
      <color theme="1"/>
      <name val="Aptos Narrow"/>
      <family val="2"/>
      <scheme val="minor"/>
    </font>
    <font>
      <sz val="16"/>
      <color rgb="FFFF0000"/>
      <name val="Aptos Narrow"/>
      <family val="2"/>
      <scheme val="minor"/>
    </font>
    <font>
      <sz val="14"/>
      <color rgb="FF51575C"/>
      <name val="Open Sans"/>
    </font>
    <font>
      <sz val="16"/>
      <color theme="1"/>
      <name val="Open Sans"/>
    </font>
    <font>
      <sz val="16"/>
      <color rgb="FF000000"/>
      <name val="Aptos Narrow"/>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0" xfId="0" applyFont="1" applyFill="1"/>
    <xf numFmtId="0" fontId="1" fillId="0" borderId="0" xfId="0" applyFont="1"/>
    <xf numFmtId="0" fontId="1" fillId="2" borderId="0" xfId="0" applyFont="1" applyFill="1" applyAlignment="1">
      <alignment horizontal="center" wrapText="1"/>
    </xf>
    <xf numFmtId="0" fontId="1" fillId="0" borderId="0" xfId="0" applyFont="1" applyAlignment="1">
      <alignment horizontal="center" wrapText="1"/>
    </xf>
    <xf numFmtId="0" fontId="0" fillId="0" borderId="0" xfId="0" applyAlignment="1">
      <alignment horizontal="center" wrapText="1"/>
    </xf>
    <xf numFmtId="0" fontId="2" fillId="0" borderId="0" xfId="0" applyFont="1"/>
    <xf numFmtId="0" fontId="2" fillId="0" borderId="0" xfId="0" applyFont="1" applyAlignment="1">
      <alignment horizontal="center" wrapText="1"/>
    </xf>
    <xf numFmtId="0" fontId="0" fillId="0" borderId="0" xfId="0" applyAlignment="1">
      <alignment wrapText="1"/>
    </xf>
    <xf numFmtId="0" fontId="3" fillId="0" borderId="0" xfId="0" applyFont="1"/>
    <xf numFmtId="0" fontId="0" fillId="0" borderId="0" xfId="0" applyAlignment="1">
      <alignment horizontal="center"/>
    </xf>
    <xf numFmtId="0" fontId="1" fillId="0" borderId="0" xfId="0" applyFont="1" applyAlignment="1">
      <alignment wrapText="1"/>
    </xf>
    <xf numFmtId="0" fontId="1" fillId="0" borderId="0" xfId="0" applyFont="1" applyAlignment="1">
      <alignment horizontal="center"/>
    </xf>
    <xf numFmtId="0" fontId="0" fillId="3" borderId="0" xfId="0" applyFill="1" applyAlignment="1">
      <alignment horizontal="center"/>
    </xf>
    <xf numFmtId="0" fontId="0" fillId="3" borderId="0" xfId="0" applyFill="1" applyAlignment="1">
      <alignment horizontal="center" wrapText="1"/>
    </xf>
    <xf numFmtId="0" fontId="1" fillId="0" borderId="1" xfId="0" applyFont="1" applyBorder="1" applyAlignment="1">
      <alignment horizontal="center" wrapText="1"/>
    </xf>
    <xf numFmtId="0" fontId="0" fillId="3" borderId="1" xfId="0" applyFill="1" applyBorder="1" applyAlignment="1">
      <alignment horizontal="center"/>
    </xf>
    <xf numFmtId="0" fontId="1" fillId="0" borderId="1" xfId="0" applyFont="1" applyBorder="1" applyAlignment="1">
      <alignment horizontal="center"/>
    </xf>
    <xf numFmtId="0" fontId="0" fillId="3" borderId="1" xfId="0" applyFill="1" applyBorder="1" applyAlignment="1">
      <alignment horizontal="center" wrapText="1"/>
    </xf>
    <xf numFmtId="0" fontId="1" fillId="4" borderId="1" xfId="0" applyFont="1" applyFill="1" applyBorder="1" applyAlignment="1">
      <alignment horizontal="center" wrapText="1"/>
    </xf>
    <xf numFmtId="0" fontId="1" fillId="4" borderId="1" xfId="0" applyFont="1" applyFill="1" applyBorder="1" applyAlignment="1">
      <alignment horizontal="center"/>
    </xf>
    <xf numFmtId="0" fontId="5" fillId="4" borderId="1" xfId="0" applyFont="1" applyFill="1" applyBorder="1"/>
    <xf numFmtId="0" fontId="4" fillId="4" borderId="0" xfId="0" applyFont="1" applyFill="1"/>
    <xf numFmtId="0" fontId="1" fillId="4" borderId="0" xfId="0" applyFont="1" applyFill="1" applyAlignment="1">
      <alignment horizontal="center"/>
    </xf>
    <xf numFmtId="0" fontId="1" fillId="4" borderId="0" xfId="0" applyFont="1" applyFill="1"/>
    <xf numFmtId="0" fontId="0" fillId="0" borderId="0" xfId="0" applyAlignment="1">
      <alignment horizontal="center" wrapText="1"/>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2B26-B73E-134C-9191-72CE31C26D1D}">
  <dimension ref="A1:M38"/>
  <sheetViews>
    <sheetView topLeftCell="D1" zoomScale="92" workbookViewId="0">
      <selection activeCell="B19" sqref="B19"/>
    </sheetView>
  </sheetViews>
  <sheetFormatPr baseColWidth="10" defaultRowHeight="16" x14ac:dyDescent="0.2"/>
  <cols>
    <col min="2" max="2" width="45.5" customWidth="1"/>
    <col min="3" max="3" width="40" customWidth="1"/>
    <col min="4" max="4" width="110.83203125" style="5" customWidth="1"/>
    <col min="5" max="5" width="18.33203125" customWidth="1"/>
    <col min="6" max="6" width="39.33203125" customWidth="1"/>
    <col min="7" max="7" width="38.6640625" customWidth="1"/>
    <col min="8" max="8" width="83" customWidth="1"/>
    <col min="9" max="9" width="29" bestFit="1" customWidth="1"/>
    <col min="10" max="10" width="18.5" bestFit="1" customWidth="1"/>
    <col min="13" max="13" width="58.5" customWidth="1"/>
  </cols>
  <sheetData>
    <row r="1" spans="1:13" ht="23" x14ac:dyDescent="0.3">
      <c r="B1" s="1" t="s">
        <v>69</v>
      </c>
      <c r="C1" s="1" t="s">
        <v>70</v>
      </c>
      <c r="D1" s="3" t="s">
        <v>71</v>
      </c>
      <c r="E1" s="1" t="s">
        <v>72</v>
      </c>
      <c r="F1" s="1" t="s">
        <v>73</v>
      </c>
      <c r="G1" s="1" t="s">
        <v>74</v>
      </c>
      <c r="H1" s="1" t="s">
        <v>75</v>
      </c>
      <c r="I1" s="1" t="s">
        <v>76</v>
      </c>
      <c r="J1" s="1" t="s">
        <v>77</v>
      </c>
    </row>
    <row r="2" spans="1:13" ht="23" x14ac:dyDescent="0.3">
      <c r="A2" t="s">
        <v>78</v>
      </c>
      <c r="B2" s="2" t="s">
        <v>42</v>
      </c>
      <c r="C2" s="2" t="s">
        <v>1</v>
      </c>
      <c r="D2" s="4" t="s">
        <v>43</v>
      </c>
      <c r="E2" s="2" t="s">
        <v>3</v>
      </c>
      <c r="F2" s="2" t="s">
        <v>26</v>
      </c>
      <c r="G2" s="2" t="s">
        <v>5</v>
      </c>
      <c r="H2" s="2" t="s">
        <v>44</v>
      </c>
      <c r="I2" s="2" t="s">
        <v>45</v>
      </c>
      <c r="J2" s="2" t="s">
        <v>8</v>
      </c>
    </row>
    <row r="3" spans="1:13" ht="23" x14ac:dyDescent="0.3">
      <c r="A3" t="s">
        <v>78</v>
      </c>
      <c r="B3" s="2" t="s">
        <v>46</v>
      </c>
      <c r="C3" s="2" t="s">
        <v>1</v>
      </c>
      <c r="D3" s="4" t="s">
        <v>47</v>
      </c>
      <c r="E3" s="2" t="s">
        <v>3</v>
      </c>
      <c r="F3" s="2" t="s">
        <v>26</v>
      </c>
      <c r="G3" s="2" t="s">
        <v>5</v>
      </c>
      <c r="H3" s="2" t="s">
        <v>44</v>
      </c>
      <c r="I3" s="2" t="s">
        <v>45</v>
      </c>
      <c r="J3" s="2" t="s">
        <v>8</v>
      </c>
    </row>
    <row r="4" spans="1:13" ht="23" x14ac:dyDescent="0.3">
      <c r="A4" t="s">
        <v>78</v>
      </c>
      <c r="B4" s="2" t="s">
        <v>54</v>
      </c>
      <c r="C4" s="2" t="s">
        <v>1</v>
      </c>
      <c r="D4" s="4" t="s">
        <v>55</v>
      </c>
      <c r="E4" s="2" t="s">
        <v>3</v>
      </c>
      <c r="F4" s="2" t="s">
        <v>56</v>
      </c>
      <c r="G4" s="2" t="s">
        <v>12</v>
      </c>
      <c r="H4" s="2" t="s">
        <v>44</v>
      </c>
      <c r="I4" s="2" t="s">
        <v>20</v>
      </c>
      <c r="J4" s="2" t="s">
        <v>15</v>
      </c>
    </row>
    <row r="5" spans="1:13" ht="23" x14ac:dyDescent="0.3">
      <c r="B5" s="2" t="s">
        <v>65</v>
      </c>
      <c r="C5" s="2" t="s">
        <v>1</v>
      </c>
      <c r="D5" s="4" t="s">
        <v>66</v>
      </c>
      <c r="E5" s="2" t="s">
        <v>3</v>
      </c>
      <c r="F5" s="2" t="s">
        <v>67</v>
      </c>
      <c r="G5" s="2" t="s">
        <v>33</v>
      </c>
      <c r="H5" s="2" t="s">
        <v>68</v>
      </c>
      <c r="I5" s="2" t="s">
        <v>34</v>
      </c>
      <c r="J5" s="2" t="s">
        <v>64</v>
      </c>
    </row>
    <row r="6" spans="1:13" ht="23" x14ac:dyDescent="0.3">
      <c r="A6" t="s">
        <v>79</v>
      </c>
      <c r="B6" s="6" t="s">
        <v>21</v>
      </c>
      <c r="C6" s="6" t="s">
        <v>1</v>
      </c>
      <c r="D6" s="7" t="s">
        <v>22</v>
      </c>
      <c r="E6" s="6" t="s">
        <v>3</v>
      </c>
      <c r="F6" s="6" t="s">
        <v>18</v>
      </c>
      <c r="G6" s="6" t="s">
        <v>12</v>
      </c>
      <c r="H6" s="6" t="s">
        <v>23</v>
      </c>
      <c r="I6" s="2" t="s">
        <v>20</v>
      </c>
      <c r="J6" s="2" t="s">
        <v>8</v>
      </c>
      <c r="L6" t="s">
        <v>79</v>
      </c>
      <c r="M6" t="s">
        <v>83</v>
      </c>
    </row>
    <row r="7" spans="1:13" ht="172" x14ac:dyDescent="0.3">
      <c r="A7" t="s">
        <v>79</v>
      </c>
      <c r="B7" s="6" t="s">
        <v>24</v>
      </c>
      <c r="C7" s="6" t="s">
        <v>1</v>
      </c>
      <c r="D7" s="7" t="s">
        <v>25</v>
      </c>
      <c r="E7" s="6" t="s">
        <v>3</v>
      </c>
      <c r="F7" s="6" t="s">
        <v>26</v>
      </c>
      <c r="G7" s="6" t="s">
        <v>5</v>
      </c>
      <c r="H7" s="6" t="s">
        <v>23</v>
      </c>
      <c r="I7" s="2" t="s">
        <v>20</v>
      </c>
      <c r="J7" s="2" t="s">
        <v>8</v>
      </c>
      <c r="M7" s="8" t="s">
        <v>80</v>
      </c>
    </row>
    <row r="8" spans="1:13" ht="23" x14ac:dyDescent="0.3">
      <c r="A8" t="s">
        <v>79</v>
      </c>
      <c r="B8" s="6" t="s">
        <v>27</v>
      </c>
      <c r="C8" s="6" t="s">
        <v>1</v>
      </c>
      <c r="D8" s="7" t="s">
        <v>28</v>
      </c>
      <c r="E8" s="6" t="s">
        <v>3</v>
      </c>
      <c r="F8" s="6" t="s">
        <v>26</v>
      </c>
      <c r="G8" s="6" t="s">
        <v>5</v>
      </c>
      <c r="H8" s="6" t="s">
        <v>23</v>
      </c>
      <c r="I8" s="2" t="s">
        <v>29</v>
      </c>
      <c r="J8" s="2" t="s">
        <v>8</v>
      </c>
      <c r="M8" t="s">
        <v>82</v>
      </c>
    </row>
    <row r="9" spans="1:13" ht="23" x14ac:dyDescent="0.3">
      <c r="B9" s="6" t="s">
        <v>35</v>
      </c>
      <c r="C9" s="6" t="s">
        <v>1</v>
      </c>
      <c r="D9" s="7" t="s">
        <v>36</v>
      </c>
      <c r="E9" s="6" t="s">
        <v>3</v>
      </c>
      <c r="F9" s="6" t="s">
        <v>18</v>
      </c>
      <c r="G9" s="6" t="s">
        <v>12</v>
      </c>
      <c r="H9" s="6" t="s">
        <v>23</v>
      </c>
      <c r="I9" s="2" t="s">
        <v>20</v>
      </c>
      <c r="J9" s="2" t="s">
        <v>8</v>
      </c>
    </row>
    <row r="10" spans="1:13" ht="23" x14ac:dyDescent="0.3">
      <c r="A10" t="s">
        <v>79</v>
      </c>
      <c r="B10" s="6" t="s">
        <v>51</v>
      </c>
      <c r="C10" s="6" t="s">
        <v>1</v>
      </c>
      <c r="D10" s="7" t="s">
        <v>52</v>
      </c>
      <c r="E10" s="6" t="s">
        <v>3</v>
      </c>
      <c r="F10" s="6" t="s">
        <v>18</v>
      </c>
      <c r="G10" s="6" t="s">
        <v>12</v>
      </c>
      <c r="H10" s="6" t="s">
        <v>53</v>
      </c>
      <c r="I10" s="2" t="s">
        <v>20</v>
      </c>
      <c r="J10" s="2" t="s">
        <v>15</v>
      </c>
      <c r="L10" t="s">
        <v>79</v>
      </c>
      <c r="M10" t="s">
        <v>84</v>
      </c>
    </row>
    <row r="11" spans="1:13" ht="23" x14ac:dyDescent="0.3">
      <c r="A11" t="s">
        <v>79</v>
      </c>
      <c r="B11" s="6" t="s">
        <v>57</v>
      </c>
      <c r="C11" s="6" t="s">
        <v>1</v>
      </c>
      <c r="D11" s="7" t="s">
        <v>58</v>
      </c>
      <c r="E11" s="6" t="s">
        <v>3</v>
      </c>
      <c r="F11" s="6" t="s">
        <v>26</v>
      </c>
      <c r="G11" s="6" t="s">
        <v>5</v>
      </c>
      <c r="H11" s="6" t="s">
        <v>53</v>
      </c>
      <c r="I11" s="2" t="s">
        <v>20</v>
      </c>
      <c r="J11" s="2" t="s">
        <v>8</v>
      </c>
      <c r="L11" t="s">
        <v>79</v>
      </c>
      <c r="M11" t="s">
        <v>81</v>
      </c>
    </row>
    <row r="12" spans="1:13" ht="23" x14ac:dyDescent="0.3">
      <c r="B12" s="2" t="s">
        <v>39</v>
      </c>
      <c r="C12" s="2" t="s">
        <v>1</v>
      </c>
      <c r="D12" s="4" t="s">
        <v>40</v>
      </c>
      <c r="E12" s="2" t="s">
        <v>3</v>
      </c>
      <c r="F12" s="2" t="s">
        <v>18</v>
      </c>
      <c r="G12" s="2" t="s">
        <v>12</v>
      </c>
      <c r="H12" s="2" t="s">
        <v>41</v>
      </c>
      <c r="I12" s="2" t="s">
        <v>20</v>
      </c>
      <c r="J12" s="2" t="s">
        <v>8</v>
      </c>
    </row>
    <row r="13" spans="1:13" ht="23" x14ac:dyDescent="0.3">
      <c r="B13" s="2" t="s">
        <v>9</v>
      </c>
      <c r="C13" s="2" t="s">
        <v>1</v>
      </c>
      <c r="D13" s="4" t="s">
        <v>10</v>
      </c>
      <c r="E13" s="2" t="s">
        <v>3</v>
      </c>
      <c r="F13" s="2" t="s">
        <v>11</v>
      </c>
      <c r="G13" s="2" t="s">
        <v>12</v>
      </c>
      <c r="H13" s="2" t="s">
        <v>13</v>
      </c>
      <c r="I13" s="2" t="s">
        <v>14</v>
      </c>
      <c r="J13" s="2" t="s">
        <v>15</v>
      </c>
    </row>
    <row r="14" spans="1:13" ht="46" x14ac:dyDescent="0.3">
      <c r="A14" t="s">
        <v>78</v>
      </c>
      <c r="B14" s="2" t="s">
        <v>0</v>
      </c>
      <c r="C14" s="2" t="s">
        <v>1</v>
      </c>
      <c r="D14" s="4" t="s">
        <v>2</v>
      </c>
      <c r="E14" s="2" t="s">
        <v>3</v>
      </c>
      <c r="F14" s="2" t="s">
        <v>4</v>
      </c>
      <c r="G14" s="2" t="s">
        <v>5</v>
      </c>
      <c r="H14" s="2" t="s">
        <v>6</v>
      </c>
      <c r="I14" s="2" t="s">
        <v>7</v>
      </c>
      <c r="J14" s="2" t="s">
        <v>8</v>
      </c>
    </row>
    <row r="15" spans="1:13" ht="23" x14ac:dyDescent="0.3">
      <c r="A15" t="s">
        <v>78</v>
      </c>
      <c r="B15" s="2" t="s">
        <v>30</v>
      </c>
      <c r="C15" s="2" t="s">
        <v>1</v>
      </c>
      <c r="D15" s="4" t="s">
        <v>31</v>
      </c>
      <c r="E15" s="2" t="s">
        <v>3</v>
      </c>
      <c r="F15" s="2" t="s">
        <v>32</v>
      </c>
      <c r="G15" s="2" t="s">
        <v>33</v>
      </c>
      <c r="H15" s="2" t="s">
        <v>6</v>
      </c>
      <c r="I15" s="2" t="s">
        <v>34</v>
      </c>
      <c r="J15" s="2" t="s">
        <v>8</v>
      </c>
    </row>
    <row r="16" spans="1:13" ht="23" x14ac:dyDescent="0.3">
      <c r="A16" t="s">
        <v>78</v>
      </c>
      <c r="B16" s="2" t="s">
        <v>48</v>
      </c>
      <c r="C16" s="2" t="s">
        <v>1</v>
      </c>
      <c r="D16" s="4" t="s">
        <v>49</v>
      </c>
      <c r="E16" s="2" t="s">
        <v>3</v>
      </c>
      <c r="F16" s="2" t="s">
        <v>50</v>
      </c>
      <c r="G16" s="2" t="s">
        <v>12</v>
      </c>
      <c r="H16" s="2" t="s">
        <v>6</v>
      </c>
      <c r="I16" s="2" t="s">
        <v>20</v>
      </c>
      <c r="J16" s="2" t="s">
        <v>15</v>
      </c>
    </row>
    <row r="17" spans="1:10" ht="23" x14ac:dyDescent="0.3">
      <c r="A17" t="s">
        <v>78</v>
      </c>
      <c r="B17" s="2" t="s">
        <v>37</v>
      </c>
      <c r="C17" s="2" t="s">
        <v>1</v>
      </c>
      <c r="D17" s="4" t="s">
        <v>38</v>
      </c>
      <c r="E17" s="2" t="s">
        <v>3</v>
      </c>
      <c r="F17" s="2" t="s">
        <v>11</v>
      </c>
      <c r="G17" s="2" t="s">
        <v>12</v>
      </c>
      <c r="H17" s="2" t="s">
        <v>130</v>
      </c>
      <c r="I17" s="2" t="s">
        <v>20</v>
      </c>
      <c r="J17" s="2" t="s">
        <v>15</v>
      </c>
    </row>
    <row r="18" spans="1:10" ht="46" x14ac:dyDescent="0.3">
      <c r="A18" t="s">
        <v>85</v>
      </c>
      <c r="B18" s="2" t="s">
        <v>16</v>
      </c>
      <c r="C18" s="2" t="s">
        <v>1</v>
      </c>
      <c r="D18" s="4" t="s">
        <v>17</v>
      </c>
      <c r="E18" s="2" t="s">
        <v>3</v>
      </c>
      <c r="F18" s="2" t="s">
        <v>18</v>
      </c>
      <c r="G18" s="2" t="s">
        <v>12</v>
      </c>
      <c r="H18" s="2" t="s">
        <v>19</v>
      </c>
      <c r="I18" s="2" t="s">
        <v>20</v>
      </c>
      <c r="J18" s="2" t="s">
        <v>8</v>
      </c>
    </row>
    <row r="19" spans="1:10" ht="23" x14ac:dyDescent="0.3">
      <c r="B19" s="2" t="s">
        <v>59</v>
      </c>
      <c r="C19" s="2" t="s">
        <v>1</v>
      </c>
      <c r="D19" s="4" t="s">
        <v>60</v>
      </c>
      <c r="E19" s="2" t="s">
        <v>3</v>
      </c>
      <c r="F19" s="2" t="s">
        <v>61</v>
      </c>
      <c r="G19" s="2" t="s">
        <v>33</v>
      </c>
      <c r="H19" s="2" t="s">
        <v>62</v>
      </c>
      <c r="I19" s="2" t="s">
        <v>63</v>
      </c>
      <c r="J19" s="2" t="s">
        <v>64</v>
      </c>
    </row>
    <row r="24" spans="1:10" ht="20" x14ac:dyDescent="0.25">
      <c r="B24" s="9" t="s">
        <v>86</v>
      </c>
    </row>
    <row r="25" spans="1:10" ht="20" x14ac:dyDescent="0.25">
      <c r="B25" s="9" t="s">
        <v>87</v>
      </c>
    </row>
    <row r="26" spans="1:10" ht="20" x14ac:dyDescent="0.25">
      <c r="B26" s="9" t="s">
        <v>88</v>
      </c>
    </row>
    <row r="27" spans="1:10" ht="22" x14ac:dyDescent="0.3">
      <c r="B27" s="9" t="s">
        <v>89</v>
      </c>
      <c r="D27" s="6" t="s">
        <v>21</v>
      </c>
    </row>
    <row r="28" spans="1:10" ht="22" x14ac:dyDescent="0.3">
      <c r="B28" s="9" t="s">
        <v>90</v>
      </c>
      <c r="D28" s="6" t="s">
        <v>24</v>
      </c>
    </row>
    <row r="29" spans="1:10" ht="22" x14ac:dyDescent="0.3">
      <c r="B29" t="s">
        <v>91</v>
      </c>
      <c r="D29" s="6" t="s">
        <v>27</v>
      </c>
    </row>
    <row r="30" spans="1:10" ht="22" x14ac:dyDescent="0.3">
      <c r="B30" t="s">
        <v>93</v>
      </c>
      <c r="D30" s="6" t="s">
        <v>35</v>
      </c>
    </row>
    <row r="31" spans="1:10" ht="22" x14ac:dyDescent="0.3">
      <c r="B31" t="s">
        <v>94</v>
      </c>
      <c r="D31" s="6" t="s">
        <v>51</v>
      </c>
    </row>
    <row r="32" spans="1:10" ht="22" x14ac:dyDescent="0.3">
      <c r="D32" s="6" t="s">
        <v>57</v>
      </c>
    </row>
    <row r="33" spans="2:4" ht="17" x14ac:dyDescent="0.2">
      <c r="D33" s="8" t="s">
        <v>39</v>
      </c>
    </row>
    <row r="34" spans="2:4" ht="22" x14ac:dyDescent="0.3">
      <c r="D34" s="2" t="s">
        <v>37</v>
      </c>
    </row>
    <row r="35" spans="2:4" ht="22" x14ac:dyDescent="0.3">
      <c r="D35" s="2" t="s">
        <v>16</v>
      </c>
    </row>
    <row r="37" spans="2:4" x14ac:dyDescent="0.2">
      <c r="B37" t="s">
        <v>113</v>
      </c>
    </row>
    <row r="38" spans="2:4" x14ac:dyDescent="0.2">
      <c r="B38" t="s">
        <v>114</v>
      </c>
    </row>
  </sheetData>
  <autoFilter ref="B1:J19" xr:uid="{8A672B26-B73E-134C-9191-72CE31C26D1D}">
    <sortState xmlns:xlrd2="http://schemas.microsoft.com/office/spreadsheetml/2017/richdata2" ref="B2:J19">
      <sortCondition ref="H1:H1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E0C2-CA9F-CF40-A366-FA82DB8316D2}">
  <dimension ref="B1:D10"/>
  <sheetViews>
    <sheetView topLeftCell="A8" workbookViewId="0">
      <selection activeCell="B10" sqref="B10"/>
    </sheetView>
  </sheetViews>
  <sheetFormatPr baseColWidth="10" defaultRowHeight="16" x14ac:dyDescent="0.2"/>
  <cols>
    <col min="2" max="2" width="47.5" customWidth="1"/>
    <col min="3" max="3" width="122.6640625" style="8" customWidth="1"/>
  </cols>
  <sheetData>
    <row r="1" spans="2:4" x14ac:dyDescent="0.2">
      <c r="B1" s="26" t="s">
        <v>95</v>
      </c>
      <c r="C1" s="26"/>
    </row>
    <row r="2" spans="2:4" x14ac:dyDescent="0.2">
      <c r="B2" s="10"/>
    </row>
    <row r="4" spans="2:4" ht="161" x14ac:dyDescent="0.3">
      <c r="B4" s="19" t="s">
        <v>0</v>
      </c>
      <c r="C4" s="4" t="s">
        <v>106</v>
      </c>
    </row>
    <row r="5" spans="2:4" ht="230" x14ac:dyDescent="0.3">
      <c r="B5" s="19" cm="1">
        <f t="array" aca="1" ref="B5" ca="1">B5:B7</f>
        <v>0</v>
      </c>
      <c r="C5" s="4" t="s">
        <v>104</v>
      </c>
    </row>
    <row r="6" spans="2:4" ht="184" x14ac:dyDescent="0.3">
      <c r="B6" s="19" t="s">
        <v>48</v>
      </c>
      <c r="C6" s="4" t="s">
        <v>103</v>
      </c>
    </row>
    <row r="7" spans="2:4" ht="184" x14ac:dyDescent="0.3">
      <c r="B7" s="19" t="s">
        <v>37</v>
      </c>
      <c r="C7" s="4" t="s">
        <v>102</v>
      </c>
      <c r="D7" t="s">
        <v>137</v>
      </c>
    </row>
    <row r="8" spans="2:4" ht="207" x14ac:dyDescent="0.3">
      <c r="B8" s="20" t="s">
        <v>96</v>
      </c>
      <c r="C8" s="4" t="s">
        <v>101</v>
      </c>
    </row>
    <row r="9" spans="2:4" ht="184" x14ac:dyDescent="0.3">
      <c r="B9" s="19" t="s">
        <v>92</v>
      </c>
      <c r="C9" s="4" t="s">
        <v>100</v>
      </c>
    </row>
    <row r="10" spans="2:4" ht="207" x14ac:dyDescent="0.3">
      <c r="B10" s="19" t="s">
        <v>97</v>
      </c>
      <c r="C10" s="4" t="s">
        <v>105</v>
      </c>
    </row>
  </sheetData>
  <mergeCells count="1">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70F1-2AC3-6E41-A6D0-89D8872E923E}">
  <dimension ref="E1:F10"/>
  <sheetViews>
    <sheetView topLeftCell="A4" workbookViewId="0">
      <selection activeCell="E6" sqref="E6"/>
    </sheetView>
  </sheetViews>
  <sheetFormatPr baseColWidth="10" defaultRowHeight="16" x14ac:dyDescent="0.2"/>
  <cols>
    <col min="5" max="5" width="47.1640625" customWidth="1"/>
    <col min="6" max="6" width="109" customWidth="1"/>
  </cols>
  <sheetData>
    <row r="1" spans="5:6" x14ac:dyDescent="0.2">
      <c r="E1" s="25" t="s">
        <v>107</v>
      </c>
      <c r="F1" s="25"/>
    </row>
    <row r="3" spans="5:6" ht="17" x14ac:dyDescent="0.2">
      <c r="E3" s="13" t="s">
        <v>98</v>
      </c>
      <c r="F3" s="14" t="s">
        <v>99</v>
      </c>
    </row>
    <row r="4" spans="5:6" ht="253" x14ac:dyDescent="0.3">
      <c r="E4" s="12" t="s">
        <v>42</v>
      </c>
      <c r="F4" s="4" t="s">
        <v>112</v>
      </c>
    </row>
    <row r="5" spans="5:6" ht="207" x14ac:dyDescent="0.3">
      <c r="E5" s="12" t="s">
        <v>46</v>
      </c>
      <c r="F5" s="4" t="s">
        <v>108</v>
      </c>
    </row>
    <row r="6" spans="5:6" ht="230" x14ac:dyDescent="0.3">
      <c r="E6" s="23" t="s">
        <v>54</v>
      </c>
      <c r="F6" s="4" t="s">
        <v>109</v>
      </c>
    </row>
    <row r="7" spans="5:6" ht="207" x14ac:dyDescent="0.3">
      <c r="E7" s="23" t="s">
        <v>39</v>
      </c>
      <c r="F7" s="4" t="s">
        <v>110</v>
      </c>
    </row>
    <row r="8" spans="5:6" ht="230" x14ac:dyDescent="0.3">
      <c r="E8" s="23" t="s">
        <v>16</v>
      </c>
      <c r="F8" s="4" t="s">
        <v>111</v>
      </c>
    </row>
    <row r="9" spans="5:6" ht="299" x14ac:dyDescent="0.3">
      <c r="E9" s="23" t="s">
        <v>114</v>
      </c>
      <c r="F9" s="4" t="s">
        <v>115</v>
      </c>
    </row>
    <row r="10" spans="5:6" ht="23" x14ac:dyDescent="0.3">
      <c r="E10" s="23" t="s">
        <v>37</v>
      </c>
      <c r="F10" s="4" t="s">
        <v>116</v>
      </c>
    </row>
  </sheetData>
  <mergeCells count="1">
    <mergeCell ref="E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9BB4-E33B-244C-851F-1157620ED859}">
  <dimension ref="E1:G13"/>
  <sheetViews>
    <sheetView topLeftCell="A8" workbookViewId="0">
      <selection activeCell="E8" sqref="E8"/>
    </sheetView>
  </sheetViews>
  <sheetFormatPr baseColWidth="10" defaultRowHeight="22" x14ac:dyDescent="0.3"/>
  <cols>
    <col min="5" max="5" width="49.5" bestFit="1" customWidth="1"/>
    <col min="6" max="6" width="80.1640625" style="2" customWidth="1"/>
  </cols>
  <sheetData>
    <row r="1" spans="5:7" ht="16" x14ac:dyDescent="0.2">
      <c r="E1" s="26" t="s">
        <v>118</v>
      </c>
      <c r="F1" s="26"/>
    </row>
    <row r="3" spans="5:7" ht="17" x14ac:dyDescent="0.2">
      <c r="E3" s="16" t="s">
        <v>98</v>
      </c>
      <c r="F3" s="18" t="s">
        <v>99</v>
      </c>
    </row>
    <row r="4" spans="5:7" ht="253" x14ac:dyDescent="0.3">
      <c r="E4" s="17" t="s">
        <v>21</v>
      </c>
      <c r="F4" s="15" t="s">
        <v>119</v>
      </c>
    </row>
    <row r="5" spans="5:7" ht="322" x14ac:dyDescent="0.3">
      <c r="E5" s="17" t="s">
        <v>24</v>
      </c>
      <c r="F5" s="15" t="s">
        <v>120</v>
      </c>
    </row>
    <row r="6" spans="5:7" ht="299" x14ac:dyDescent="0.3">
      <c r="E6" s="17" t="s">
        <v>27</v>
      </c>
      <c r="F6" s="15" t="s">
        <v>121</v>
      </c>
    </row>
    <row r="7" spans="5:7" ht="276" x14ac:dyDescent="0.3">
      <c r="E7" s="17" t="s">
        <v>35</v>
      </c>
      <c r="F7" s="15" t="s">
        <v>122</v>
      </c>
    </row>
    <row r="8" spans="5:7" ht="299" x14ac:dyDescent="0.3">
      <c r="E8" s="20" t="s">
        <v>51</v>
      </c>
      <c r="F8" s="15" t="s">
        <v>123</v>
      </c>
    </row>
    <row r="9" spans="5:7" ht="299" x14ac:dyDescent="0.3">
      <c r="E9" s="20" t="s">
        <v>57</v>
      </c>
      <c r="F9" s="15" t="s">
        <v>124</v>
      </c>
    </row>
    <row r="10" spans="5:7" ht="299" x14ac:dyDescent="0.3">
      <c r="E10" s="20" t="s">
        <v>39</v>
      </c>
      <c r="F10" s="15" t="s">
        <v>125</v>
      </c>
    </row>
    <row r="11" spans="5:7" ht="276" x14ac:dyDescent="0.3">
      <c r="E11" s="20" t="s">
        <v>37</v>
      </c>
      <c r="F11" s="15" t="s">
        <v>126</v>
      </c>
    </row>
    <row r="12" spans="5:7" ht="322" x14ac:dyDescent="0.3">
      <c r="E12" s="20" t="s">
        <v>16</v>
      </c>
      <c r="F12" s="15" t="s">
        <v>127</v>
      </c>
      <c r="G12" t="s">
        <v>128</v>
      </c>
    </row>
    <row r="13" spans="5:7" ht="253" x14ac:dyDescent="0.3">
      <c r="E13" s="17" t="s">
        <v>117</v>
      </c>
      <c r="F13" s="15" t="s">
        <v>129</v>
      </c>
    </row>
  </sheetData>
  <mergeCells count="1">
    <mergeCell ref="E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FD7E-8D4D-DE45-904F-51270E7B1E19}">
  <dimension ref="E1:F18"/>
  <sheetViews>
    <sheetView tabSelected="1" topLeftCell="A15" workbookViewId="0">
      <selection activeCell="F15" sqref="F15"/>
    </sheetView>
  </sheetViews>
  <sheetFormatPr baseColWidth="10" defaultRowHeight="16" x14ac:dyDescent="0.2"/>
  <cols>
    <col min="5" max="5" width="56.1640625" customWidth="1"/>
    <col min="6" max="6" width="64.6640625" customWidth="1"/>
  </cols>
  <sheetData>
    <row r="1" spans="5:6" x14ac:dyDescent="0.2">
      <c r="E1" s="26" t="s">
        <v>134</v>
      </c>
      <c r="F1" s="26"/>
    </row>
    <row r="4" spans="5:6" ht="17" x14ac:dyDescent="0.2">
      <c r="E4" s="16" t="s">
        <v>98</v>
      </c>
      <c r="F4" s="18" t="s">
        <v>99</v>
      </c>
    </row>
    <row r="5" spans="5:6" ht="409.6" x14ac:dyDescent="0.3">
      <c r="E5" s="24" t="s">
        <v>39</v>
      </c>
      <c r="F5" s="11" t="s">
        <v>131</v>
      </c>
    </row>
    <row r="6" spans="5:6" ht="409.6" x14ac:dyDescent="0.3">
      <c r="E6" s="24" t="s">
        <v>65</v>
      </c>
      <c r="F6" s="11" t="s">
        <v>138</v>
      </c>
    </row>
    <row r="7" spans="5:6" ht="345" x14ac:dyDescent="0.3">
      <c r="E7" s="22" t="s">
        <v>37</v>
      </c>
      <c r="F7" s="11" t="s">
        <v>132</v>
      </c>
    </row>
    <row r="8" spans="5:6" ht="409.6" x14ac:dyDescent="0.3">
      <c r="E8" s="24" t="s">
        <v>139</v>
      </c>
      <c r="F8" s="11" t="s">
        <v>140</v>
      </c>
    </row>
    <row r="11" spans="5:6" ht="22" x14ac:dyDescent="0.3">
      <c r="E11" s="27" t="s">
        <v>62</v>
      </c>
      <c r="F11" s="27"/>
    </row>
    <row r="14" spans="5:6" ht="17" x14ac:dyDescent="0.2">
      <c r="E14" s="16" t="s">
        <v>98</v>
      </c>
      <c r="F14" s="18" t="s">
        <v>99</v>
      </c>
    </row>
    <row r="15" spans="5:6" ht="409.6" x14ac:dyDescent="0.3">
      <c r="E15" s="21" t="s">
        <v>59</v>
      </c>
      <c r="F15" s="11" t="s">
        <v>133</v>
      </c>
    </row>
    <row r="16" spans="5:6" ht="409.6" x14ac:dyDescent="0.3">
      <c r="E16" s="22" t="s">
        <v>135</v>
      </c>
      <c r="F16" s="11" t="s">
        <v>136</v>
      </c>
    </row>
    <row r="18" spans="5:6" ht="22" x14ac:dyDescent="0.3">
      <c r="E18" s="27"/>
      <c r="F18" s="27"/>
    </row>
  </sheetData>
  <mergeCells count="3">
    <mergeCell ref="E11:F11"/>
    <mergeCell ref="E1:F1"/>
    <mergeCell ref="E18:F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GMAIL</vt:lpstr>
      <vt:lpstr>GCHAT</vt:lpstr>
      <vt:lpstr>DRIVE</vt:lpstr>
      <vt:lpstr>Docs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Jonnagaddla [CW]</dc:creator>
  <cp:lastModifiedBy>Rajesh Jonnagaddla [CW]</cp:lastModifiedBy>
  <dcterms:created xsi:type="dcterms:W3CDTF">2026-08-12T09:29:27Z</dcterms:created>
  <dcterms:modified xsi:type="dcterms:W3CDTF">2026-08-26T16:57:50Z</dcterms:modified>
</cp:coreProperties>
</file>